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Equipment and Expense" sheetId="1" state="visible" r:id="rId2"/>
  </sheets>
  <definedNames>
    <definedName function="false" hidden="false" name="_xlnm.Print_Area_1" vbProcedure="false">#REF!!$A$1:$E$31</definedName>
    <definedName function="false" hidden="false" name="_xlnm.Print_Area_2" vbProcedure="false">#REF!!$A$1:$Q$4</definedName>
    <definedName function="false" hidden="false" name="_xlnm.Print_Titles_1" vbProcedure="false">#REF!!$A:$C,#REF!!$1:$31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<sst xmlns="http://schemas.openxmlformats.org/spreadsheetml/2006/main" count="49" uniqueCount="37">
  <si>
    <t>ID</t>
  </si>
  <si>
    <t>Requestor</t>
  </si>
  <si>
    <t>Acct Code</t>
  </si>
  <si>
    <t>Item</t>
  </si>
  <si>
    <t>Product Description</t>
  </si>
  <si>
    <t>Quote Provider</t>
  </si>
  <si>
    <t>Quantity</t>
  </si>
  <si>
    <t>Cost/Item</t>
  </si>
  <si>
    <t>Cost/Qty</t>
  </si>
  <si>
    <t>S&amp;H</t>
  </si>
  <si>
    <t>Total Cost</t>
  </si>
  <si>
    <t>Specific Function</t>
  </si>
  <si>
    <t>Justification</t>
  </si>
  <si>
    <t>Michael Scherer</t>
  </si>
  <si>
    <t>Geared DC Motor</t>
  </si>
  <si>
    <t>NPC-B82HT High Torque Right-Side Geared Motor</t>
  </si>
  <si>
    <t>http://www.robotmarketplace.com/products/NPC-B82HT.html</t>
  </si>
  <si>
    <t>Drive system for ground vehicle</t>
  </si>
  <si>
    <t>Vital for the operation and drive system of our vehicle</t>
  </si>
  <si>
    <t>NPC-B81HT High Torque Left-Side Geared Motor</t>
  </si>
  <si>
    <t>http://www.robotmarketplace.com/products/NPC-B81HT.html</t>
  </si>
  <si>
    <t>Hub</t>
  </si>
  <si>
    <t>NPC-PH804 Hub</t>
  </si>
  <si>
    <t>http://www.robotmarketplace.com/products/NPC-PH804.html</t>
  </si>
  <si>
    <t>Mount rims to motor</t>
  </si>
  <si>
    <t>Rims</t>
  </si>
  <si>
    <t>2-Pc., 4-Hole 6in. Split Rim</t>
  </si>
  <si>
    <t>http://www.northerntool.com/shop/tools/product_25239_25239?cm_sp=Upsells-_-Top%20Sellers-_-Product%20Page</t>
  </si>
  <si>
    <t>Mount tires to hub</t>
  </si>
  <si>
    <t>Tires</t>
  </si>
  <si>
    <t>Lawn Garden/ Go kart Tire 410 x 350 x 6 2 ply Stud Tread</t>
  </si>
  <si>
    <t>http://www.amazon.com/Lawn-Garden-kart-Tire-Tread/dp/B000637QV2</t>
  </si>
  <si>
    <t>Track and protection for inner tube</t>
  </si>
  <si>
    <t>Innertubes</t>
  </si>
  <si>
    <t>Oregon 71-600 6-inch Tire Innertube 410/350-6 Bent Valve</t>
  </si>
  <si>
    <t>http://www.amazon.com/Oregon-71-600-6-inch-Innertube-350-6/dp/B000637QM6/ref=sr_1_10?s=home-garden&amp;ie=UTF8&amp;qid=1285911204&amp;sr=1-10</t>
  </si>
  <si>
    <t>Gives form to tires</t>
  </si>
</sst>
</file>

<file path=xl/styles.xml><?xml version="1.0" encoding="utf-8"?>
<styleSheet xmlns="http://schemas.openxmlformats.org/spreadsheetml/2006/main">
  <numFmts count="2">
    <numFmt formatCode="GENERAL" numFmtId="164"/>
    <numFmt formatCode="_(\$* #,##0.00_);_(\$* \(#,##0.00\);_(\$* \-??_);_(@_)" numFmtId="165"/>
  </numFmts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true"/>
      <color rgb="00000000"/>
      <sz val="11"/>
    </font>
    <font>
      <name val="Arial"/>
      <family val="2"/>
      <color rgb="000000FF"/>
      <sz val="10"/>
      <u val="single"/>
    </font>
    <font>
      <name val="Calibri"/>
      <family val="2"/>
      <color rgb="00FFFFFF"/>
      <sz val="11"/>
    </font>
    <font>
      <name val="Calibri"/>
      <family val="2"/>
      <color rgb="00000000"/>
      <sz val="11"/>
    </font>
  </fonts>
  <fills count="6">
    <fill>
      <patternFill patternType="none"/>
    </fill>
    <fill>
      <patternFill patternType="gray125"/>
    </fill>
    <fill>
      <patternFill patternType="solid">
        <fgColor rgb="00B9CDE5"/>
        <bgColor rgb="00B7DEE8"/>
      </patternFill>
    </fill>
    <fill>
      <patternFill patternType="solid">
        <fgColor rgb="0095B3D7"/>
        <bgColor rgb="00C0C0C0"/>
      </patternFill>
    </fill>
    <fill>
      <patternFill patternType="solid">
        <fgColor rgb="00B7DEE8"/>
        <bgColor rgb="00B9CDE5"/>
      </patternFill>
    </fill>
    <fill>
      <patternFill patternType="solid">
        <fgColor rgb="004BACC6"/>
        <bgColor rgb="00339966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 style="thin"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true" applyBorder="true" applyFont="true" applyProtection="true" borderId="0" fillId="0" fontId="0" numFmtId="165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5" numFmtId="164">
      <alignment horizontal="general" indent="0" shrinkToFit="false" textRotation="0" vertical="bottom" wrapText="false"/>
      <protection hidden="false" locked="true"/>
    </xf>
  </cellStyleXfs>
  <cellXfs count="14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true" applyBorder="true" applyFont="true" applyProtection="false" borderId="1" fillId="2" fontId="4" numFmtId="164" xfId="0">
      <alignment horizontal="center" indent="0" shrinkToFit="false" textRotation="0" vertical="bottom" wrapText="false"/>
    </xf>
    <xf applyAlignment="false" applyBorder="true" applyFont="true" applyProtection="false" borderId="1" fillId="2" fontId="4" numFmtId="164" xfId="0"/>
    <xf applyAlignment="true" applyBorder="true" applyFont="true" applyProtection="false" borderId="1" fillId="2" fontId="4" numFmtId="164" xfId="0">
      <alignment horizontal="left" indent="0" shrinkToFit="false" textRotation="0" vertical="bottom" wrapText="false"/>
    </xf>
    <xf applyAlignment="true" applyBorder="false" applyFont="true" applyProtection="false" borderId="0" fillId="0" fontId="0" numFmtId="164" xfId="0">
      <alignment horizontal="left" indent="0" shrinkToFit="false" textRotation="0" vertical="bottom" wrapText="false"/>
    </xf>
    <xf applyAlignment="true" applyBorder="true" applyFont="true" applyProtection="true" borderId="0" fillId="0" fontId="5" numFmtId="164" xfId="2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0" numFmtId="165" xfId="17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0" fillId="0" fontId="0" numFmtId="165" xfId="17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/>
    <xf applyAlignment="false" applyBorder="false" applyFont="true" applyProtection="false" borderId="0" fillId="0" fontId="0" numFmtId="164" xfId="0"/>
    <xf applyAlignment="true" applyBorder="true" applyFont="true" applyProtection="true" borderId="0" fillId="3" fontId="6" numFmtId="165" xfId="17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7" numFmtId="165" xfId="17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6" numFmtId="165" xfId="17">
      <alignment horizontal="general" indent="0" shrinkToFit="false" textRotation="0" vertical="bottom" wrapText="false"/>
      <protection hidden="false" locked="true"/>
    </xf>
  </cellXfs>
  <cellStyles count="7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20% - Accent1 2" xfId="1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5B3D7"/>
      <rgbColor rgb="00993366"/>
      <rgbColor rgb="00FFFFCC"/>
      <rgbColor rgb="00CCFFFF"/>
      <rgbColor rgb="00660066"/>
      <rgbColor rgb="00FF8080"/>
      <rgbColor rgb="000066CC"/>
      <rgbColor rgb="00B9CD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7DEE8"/>
      <rgbColor rgb="00FF99CC"/>
      <rgbColor rgb="00CC99FF"/>
      <rgbColor rgb="00FFCC99"/>
      <rgbColor rgb="003366FF"/>
      <rgbColor rgb="004BACC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robotmarketplace.com/products/NPC-B82HT.html" TargetMode="External"/><Relationship Id="rId2" Type="http://schemas.openxmlformats.org/officeDocument/2006/relationships/hyperlink" Target="http://www.robotmarketplace.com/products/NPC-B81HT.html" TargetMode="External"/><Relationship Id="rId3" Type="http://schemas.openxmlformats.org/officeDocument/2006/relationships/hyperlink" Target="http://www.robotmarketplace.com/products/NPC-PH804.html" TargetMode="External"/><Relationship Id="rId4" Type="http://schemas.openxmlformats.org/officeDocument/2006/relationships/hyperlink" Target="http://www.northerntool.com/shop/tools/product_25239_25239?cm_sp=Upsells-_-Top%20Sellers-_-Product%20Page" TargetMode="External"/><Relationship Id="rId5" Type="http://schemas.openxmlformats.org/officeDocument/2006/relationships/hyperlink" Target="http://www.amazon.com/Lawn-Garden-kart-Tire-Tread/dp/B000637QV2" TargetMode="External"/><Relationship Id="rId6" Type="http://schemas.openxmlformats.org/officeDocument/2006/relationships/hyperlink" Target="http://www.amazon.com/Oregon-71-600-6-inch-Innertube-350-6/dp/B000637QM6/ref=sr_1_10?s=home-garden&amp;ie=UTF8&amp;qid=1285911204&amp;sr=1-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" min="1" style="1" width="2.88627450980392"/>
    <col collapsed="false" hidden="false" max="2" min="2" style="1" width="15.8745098039216"/>
    <col collapsed="false" hidden="false" max="3" min="3" style="1" width="10.2470588235294"/>
    <col collapsed="false" hidden="false" max="4" min="4" style="0" width="17.7529411764706"/>
    <col collapsed="false" hidden="false" max="5" min="5" style="0" width="26.2549019607843"/>
    <col collapsed="false" hidden="false" max="6" min="6" style="0" width="44.8705882352941"/>
    <col collapsed="false" hidden="false" max="8" min="7" style="0" width="10.3921568627451"/>
    <col collapsed="false" hidden="false" max="9" min="9" style="0" width="14.1921568627451"/>
    <col collapsed="false" hidden="false" max="10" min="10" style="0" width="11.3960784313726"/>
    <col collapsed="false" hidden="false" max="11" min="11" style="0" width="16.878431372549"/>
    <col collapsed="false" hidden="false" max="12" min="12" style="0" width="27.2705882352941"/>
    <col collapsed="false" hidden="false" max="13" min="13" style="0" width="149.341176470588"/>
    <col collapsed="false" hidden="false" max="14" min="14" style="0" width="10.3921568627451"/>
    <col collapsed="false" hidden="false" max="1025" min="15" style="0" width="9.36862745098039"/>
  </cols>
  <sheetData>
    <row collapsed="false" customFormat="false" customHeight="false" hidden="false" ht="14" outlineLevel="0" r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/>
    </row>
    <row collapsed="false" customFormat="false" customHeight="false" hidden="false" ht="12.8" outlineLevel="0" r="2">
      <c r="A2" s="1" t="n">
        <v>1</v>
      </c>
      <c r="B2" s="1" t="s">
        <v>13</v>
      </c>
      <c r="D2" s="5" t="s">
        <v>14</v>
      </c>
      <c r="E2" s="5" t="s">
        <v>15</v>
      </c>
      <c r="F2" s="6" t="s">
        <v>16</v>
      </c>
      <c r="G2" s="0" t="n">
        <v>2</v>
      </c>
      <c r="H2" s="7" t="n">
        <v>339</v>
      </c>
      <c r="I2" s="7" t="n">
        <f aca="false">G2*H2</f>
        <v>678</v>
      </c>
      <c r="J2" s="8" t="n">
        <v>0</v>
      </c>
      <c r="K2" s="8" t="n">
        <f aca="false">SUM(H2:I2)</f>
        <v>1017</v>
      </c>
      <c r="L2" s="0" t="s">
        <v>17</v>
      </c>
      <c r="M2" s="0" t="s">
        <v>18</v>
      </c>
    </row>
    <row collapsed="false" customFormat="false" customHeight="false" hidden="false" ht="12.8" outlineLevel="0" r="3">
      <c r="A3" s="1" t="n">
        <f aca="false">A2+1</f>
        <v>2</v>
      </c>
      <c r="B3" s="1" t="s">
        <v>13</v>
      </c>
      <c r="D3" s="5" t="s">
        <v>14</v>
      </c>
      <c r="E3" s="5" t="s">
        <v>19</v>
      </c>
      <c r="F3" s="6" t="s">
        <v>20</v>
      </c>
      <c r="G3" s="0" t="n">
        <v>2</v>
      </c>
      <c r="H3" s="7" t="n">
        <v>339</v>
      </c>
      <c r="I3" s="7" t="n">
        <f aca="false">G3*H3</f>
        <v>678</v>
      </c>
      <c r="J3" s="8" t="n">
        <v>0</v>
      </c>
      <c r="K3" s="8" t="n">
        <f aca="false">SUM(H3:I3)</f>
        <v>1017</v>
      </c>
      <c r="L3" s="0" t="s">
        <v>17</v>
      </c>
      <c r="M3" s="0" t="s">
        <v>18</v>
      </c>
    </row>
    <row collapsed="false" customFormat="false" customHeight="false" hidden="false" ht="12.8" outlineLevel="0" r="4">
      <c r="A4" s="1" t="n">
        <f aca="false">A3+1</f>
        <v>3</v>
      </c>
      <c r="B4" s="1" t="s">
        <v>13</v>
      </c>
      <c r="D4" s="0" t="s">
        <v>21</v>
      </c>
      <c r="E4" s="0" t="s">
        <v>22</v>
      </c>
      <c r="F4" s="6" t="s">
        <v>23</v>
      </c>
      <c r="G4" s="0" t="n">
        <v>4</v>
      </c>
      <c r="H4" s="9" t="n">
        <v>40</v>
      </c>
      <c r="I4" s="7" t="n">
        <f aca="false">G4*H4</f>
        <v>160</v>
      </c>
      <c r="J4" s="9" t="n">
        <v>0</v>
      </c>
      <c r="K4" s="8" t="n">
        <f aca="false">SUM(H4:I4)</f>
        <v>200</v>
      </c>
      <c r="L4" s="0" t="s">
        <v>24</v>
      </c>
      <c r="M4" s="0" t="s">
        <v>18</v>
      </c>
    </row>
    <row collapsed="false" customFormat="false" customHeight="false" hidden="false" ht="12.8" outlineLevel="0" r="5">
      <c r="A5" s="1" t="n">
        <f aca="false">A4+1</f>
        <v>4</v>
      </c>
      <c r="B5" s="1" t="s">
        <v>13</v>
      </c>
      <c r="D5" s="0" t="s">
        <v>25</v>
      </c>
      <c r="E5" s="0" t="s">
        <v>26</v>
      </c>
      <c r="F5" s="6" t="s">
        <v>27</v>
      </c>
      <c r="G5" s="0" t="n">
        <v>4</v>
      </c>
      <c r="H5" s="9" t="n">
        <v>16.99</v>
      </c>
      <c r="I5" s="7" t="n">
        <f aca="false">G5*H5</f>
        <v>67.96</v>
      </c>
      <c r="J5" s="9" t="n">
        <v>0</v>
      </c>
      <c r="K5" s="8" t="n">
        <f aca="false">SUM(H5:I5)</f>
        <v>84.95</v>
      </c>
      <c r="L5" s="0" t="s">
        <v>28</v>
      </c>
      <c r="M5" s="0" t="s">
        <v>18</v>
      </c>
    </row>
    <row collapsed="false" customFormat="false" customHeight="false" hidden="false" ht="12.8" outlineLevel="0" r="6">
      <c r="A6" s="1" t="n">
        <f aca="false">A5+1</f>
        <v>5</v>
      </c>
      <c r="B6" s="1" t="s">
        <v>13</v>
      </c>
      <c r="D6" s="0" t="s">
        <v>29</v>
      </c>
      <c r="E6" s="0" t="s">
        <v>30</v>
      </c>
      <c r="F6" s="6" t="s">
        <v>31</v>
      </c>
      <c r="G6" s="0" t="n">
        <v>4</v>
      </c>
      <c r="H6" s="9" t="n">
        <v>11.99</v>
      </c>
      <c r="I6" s="7" t="n">
        <f aca="false">G6*H6</f>
        <v>47.96</v>
      </c>
      <c r="J6" s="9" t="n">
        <v>0</v>
      </c>
      <c r="K6" s="8" t="n">
        <f aca="false">SUM(H6:I6)</f>
        <v>59.95</v>
      </c>
      <c r="L6" s="0" t="s">
        <v>32</v>
      </c>
      <c r="M6" s="0" t="s">
        <v>18</v>
      </c>
    </row>
    <row collapsed="false" customFormat="false" customHeight="false" hidden="false" ht="12.8" outlineLevel="0" r="7">
      <c r="A7" s="1" t="n">
        <f aca="false">A6+1</f>
        <v>6</v>
      </c>
      <c r="B7" s="1" t="s">
        <v>13</v>
      </c>
      <c r="D7" s="0" t="s">
        <v>33</v>
      </c>
      <c r="E7" s="10" t="s">
        <v>34</v>
      </c>
      <c r="F7" s="6" t="s">
        <v>35</v>
      </c>
      <c r="G7" s="0" t="n">
        <v>4</v>
      </c>
      <c r="H7" s="9" t="n">
        <v>9.23</v>
      </c>
      <c r="I7" s="7" t="n">
        <f aca="false">G7*H7</f>
        <v>36.92</v>
      </c>
      <c r="J7" s="9" t="n">
        <v>0</v>
      </c>
      <c r="K7" s="8" t="n">
        <f aca="false">SUM(H7:I7)</f>
        <v>46.15</v>
      </c>
      <c r="L7" s="0" t="s">
        <v>36</v>
      </c>
      <c r="M7" s="0" t="s">
        <v>18</v>
      </c>
    </row>
    <row collapsed="false" customFormat="false" customHeight="false" hidden="false" ht="14" outlineLevel="0" r="8">
      <c r="I8" s="11" t="n">
        <f aca="false">SUM(I2:I3)</f>
        <v>1356</v>
      </c>
      <c r="J8" s="12" t="n">
        <f aca="false">SUM(J2:J3)</f>
        <v>0</v>
      </c>
      <c r="K8" s="13" t="n">
        <f aca="false">SUM(I8:J8)</f>
        <v>1356</v>
      </c>
    </row>
  </sheetData>
  <hyperlinks>
    <hyperlink display="http://www.robotmarketplace.com/products/NPC-B82HT.html" ref="F2" r:id="rId1"/>
    <hyperlink display="http://www.robotmarketplace.com/products/NPC-B81HT.html" ref="F3" r:id="rId2"/>
    <hyperlink display="http://www.robotmarketplace.com/products/NPC-PH804.html" ref="F4" r:id="rId3"/>
    <hyperlink display="http://www.northerntool.com/shop/tools/product_25239_25239?cm_sp=Upsells-_-Top%20Sellers-_-Product%20Page" ref="F5" r:id="rId4"/>
    <hyperlink display="http://www.amazon.com/Lawn-Garden-kart-Tire-Tread/dp/B000637QV2" ref="F6" r:id="rId5"/>
    <hyperlink display="http://www.amazon.com/Oregon-71-600-6-inch-Innertube-350-6/dp/B000637QM6/ref=sr_1_10?s=home-garden&amp;ie=UTF8&amp;qid=1285911204&amp;sr=1-10" ref="F7" r:id="rId6"/>
  </hyperlink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OpenOffice.org/3.2$Unix OpenOffice.org_project/320m12$Build-9483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